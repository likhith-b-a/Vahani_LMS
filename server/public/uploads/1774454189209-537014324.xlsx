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 LOADS\"/>
    </mc:Choice>
  </mc:AlternateContent>
  <xr:revisionPtr revIDLastSave="0" documentId="13_ncr:1_{7E62F544-BBA1-4FE9-A069-219B2A193DEE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ales_Data" sheetId="1" r:id="rId1"/>
    <sheet name="Sheet1" sheetId="2" r:id="rId2"/>
    <sheet name="pivot_table" sheetId="3" r:id="rId3"/>
  </sheets>
  <definedNames>
    <definedName name="_xlnm._FilterDatabase" localSheetId="0" hidden="1">Sales_Data!$A$1:$K$31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1" i="1" l="1"/>
  <c r="O39" i="1"/>
  <c r="O37" i="1"/>
  <c r="O38" i="1"/>
  <c r="O36" i="1"/>
  <c r="O3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</calcChain>
</file>

<file path=xl/sharedStrings.xml><?xml version="1.0" encoding="utf-8"?>
<sst xmlns="http://schemas.openxmlformats.org/spreadsheetml/2006/main" count="277" uniqueCount="79">
  <si>
    <t>Order ID</t>
  </si>
  <si>
    <t>Order Date</t>
  </si>
  <si>
    <t>Country</t>
  </si>
  <si>
    <t>Sales Rep</t>
  </si>
  <si>
    <t>Product Category</t>
  </si>
  <si>
    <t>Product</t>
  </si>
  <si>
    <t>Units Sold</t>
  </si>
  <si>
    <t>Unit Price</t>
  </si>
  <si>
    <t>Discount %</t>
  </si>
  <si>
    <t>Channel</t>
  </si>
  <si>
    <t>01-Jan-24</t>
  </si>
  <si>
    <t>India</t>
  </si>
  <si>
    <t>Ayaan</t>
  </si>
  <si>
    <t>Laptop</t>
  </si>
  <si>
    <t>Dell Inspiron</t>
  </si>
  <si>
    <t>Online</t>
  </si>
  <si>
    <t>02-Jan-24</t>
  </si>
  <si>
    <t>USA</t>
  </si>
  <si>
    <t>Riya</t>
  </si>
  <si>
    <t>Phone</t>
  </si>
  <si>
    <t>iPhone 14</t>
  </si>
  <si>
    <t>Retail</t>
  </si>
  <si>
    <t>Kabir</t>
  </si>
  <si>
    <t>Tablet</t>
  </si>
  <si>
    <t>iPad Air</t>
  </si>
  <si>
    <t>03-Jan-24</t>
  </si>
  <si>
    <t>Germany</t>
  </si>
  <si>
    <t>Maya</t>
  </si>
  <si>
    <t>HP Pavilion</t>
  </si>
  <si>
    <t>UK</t>
  </si>
  <si>
    <t>Sara</t>
  </si>
  <si>
    <t>Samsung S23</t>
  </si>
  <si>
    <t>04-Jan-24</t>
  </si>
  <si>
    <t>Rohit</t>
  </si>
  <si>
    <t>MacBook Air</t>
  </si>
  <si>
    <t>Arjun</t>
  </si>
  <si>
    <t>Samsung Tab</t>
  </si>
  <si>
    <t>05-Jan-24</t>
  </si>
  <si>
    <t>Isha</t>
  </si>
  <si>
    <t>OnePlus 11</t>
  </si>
  <si>
    <t>06-Jan-24</t>
  </si>
  <si>
    <t>Kunal</t>
  </si>
  <si>
    <t>Lenovo ThinkPad</t>
  </si>
  <si>
    <t>Neha</t>
  </si>
  <si>
    <t>07-Jan-24</t>
  </si>
  <si>
    <t>Tia</t>
  </si>
  <si>
    <t>Aryan</t>
  </si>
  <si>
    <t>08-Jan-24</t>
  </si>
  <si>
    <t>Dev</t>
  </si>
  <si>
    <t>Simran</t>
  </si>
  <si>
    <t>09-Jan-24</t>
  </si>
  <si>
    <t>Zara</t>
  </si>
  <si>
    <t>Aman</t>
  </si>
  <si>
    <t>10-Jan-24</t>
  </si>
  <si>
    <t>Aarav</t>
  </si>
  <si>
    <t>Rohan</t>
  </si>
  <si>
    <t>11-Jan-24</t>
  </si>
  <si>
    <t>12-Jan-24</t>
  </si>
  <si>
    <t>13-Jan-24</t>
  </si>
  <si>
    <t>14-Jan-24</t>
  </si>
  <si>
    <t>15-Jan-24</t>
  </si>
  <si>
    <t>16-Jan-24</t>
  </si>
  <si>
    <t>Region</t>
  </si>
  <si>
    <t>Asia</t>
  </si>
  <si>
    <t>North America</t>
  </si>
  <si>
    <t>Europe</t>
  </si>
  <si>
    <t>?</t>
  </si>
  <si>
    <t>Ageing(from order date)</t>
  </si>
  <si>
    <t>Gross Revenue</t>
  </si>
  <si>
    <t>Net Revenue</t>
  </si>
  <si>
    <t>Order Classification</t>
  </si>
  <si>
    <t>Priority Channel</t>
  </si>
  <si>
    <t>Total Revenue generated from India through Online Channel</t>
  </si>
  <si>
    <t>number of orders where Country is India AND Product Category is Laptop</t>
  </si>
  <si>
    <t xml:space="preserve">3 highest Net Revenue orders </t>
  </si>
  <si>
    <t>Row Labels</t>
  </si>
  <si>
    <t>Grand Total</t>
  </si>
  <si>
    <t>Sum of Gross Revenue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</si>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</sst>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1" fillId="0" borderId="2" xfId="0" applyFont="1" applyBorder="1"/>
    <xf numFmtId="0" fontId="0" fillId="0" borderId="2" xfId="0" applyFill="1" applyBorder="1"/>
    <xf numFmtId="15" fontId="0" fillId="0" borderId="1" xfId="0" applyNumberFormat="1" applyBorder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khi" refreshedDate="46098.769479976851" createdVersion="8" refreshedVersion="8" minRefreshableVersion="3" recordCount="30" xr:uid="{CD65246D-5E4E-479F-9561-C8893A612D2D}">
  <cacheSource type="worksheet">
    <worksheetSource ref="A1:Q31" sheet="Sales_Data"/>
  </cacheSource>
  <cacheFields count="17">
    <cacheField name="Order ID" numFmtId="0">
      <sharedItems containsSemiMixedTypes="0" containsString="0" containsNumber="1" containsInteger="1" minValue="1001" maxValue="1030"/>
    </cacheField>
    <cacheField name="Order Date" numFmtId="0">
      <sharedItems containsDate="1" containsMixedTypes="1" minDate="2024-01-02T00:00:00" maxDate="2024-01-03T00:00:00"/>
    </cacheField>
    <cacheField name="Country" numFmtId="0">
      <sharedItems count="4">
        <s v="India"/>
        <s v="USA"/>
        <s v="Germany"/>
        <s v="UK"/>
      </sharedItems>
    </cacheField>
    <cacheField name="Sales Rep" numFmtId="0">
      <sharedItems count="18">
        <s v="Ayaan"/>
        <s v="Riya"/>
        <s v="Kabir"/>
        <s v="Maya"/>
        <s v="Sara"/>
        <s v="Rohit"/>
        <s v="Arjun"/>
        <s v="Isha"/>
        <s v="Kunal"/>
        <s v="Neha"/>
        <s v="Tia"/>
        <s v="Aryan"/>
        <s v="Dev"/>
        <s v="Simran"/>
        <s v="Zara"/>
        <s v="Aman"/>
        <s v="Aarav"/>
        <s v="Rohan"/>
      </sharedItems>
    </cacheField>
    <cacheField name="Product Category" numFmtId="0">
      <sharedItems count="3">
        <s v="Laptop"/>
        <s v="Phone"/>
        <s v="Tablet"/>
      </sharedItems>
    </cacheField>
    <cacheField name="Product" numFmtId="0">
      <sharedItems/>
    </cacheField>
    <cacheField name="Units Sold" numFmtId="0">
      <sharedItems containsSemiMixedTypes="0" containsString="0" containsNumber="1" containsInteger="1" minValue="1" maxValue="6"/>
    </cacheField>
    <cacheField name="Unit Price" numFmtId="0">
      <sharedItems containsSemiMixedTypes="0" containsString="0" containsNumber="1" containsInteger="1" minValue="550" maxValue="1200"/>
    </cacheField>
    <cacheField name="Discount %" numFmtId="0">
      <sharedItems containsSemiMixedTypes="0" containsString="0" containsNumber="1" containsInteger="1" minValue="2" maxValue="6"/>
    </cacheField>
    <cacheField name="Channel" numFmtId="0">
      <sharedItems count="2">
        <s v="Online"/>
        <s v="Retail"/>
      </sharedItems>
    </cacheField>
    <cacheField name="Region" numFmtId="0">
      <sharedItems/>
    </cacheField>
    <cacheField name="Ageing(from order date)" numFmtId="0">
      <sharedItems/>
    </cacheField>
    <cacheField name="Gross Revenue" numFmtId="0">
      <sharedItems containsSemiMixedTypes="0" containsString="0" containsNumber="1" containsInteger="1" minValue="750" maxValue="4250" count="17">
        <n v="2400"/>
        <n v="1800"/>
        <n v="1500"/>
        <n v="4250"/>
        <n v="1200"/>
        <n v="1650"/>
        <n v="3900"/>
        <n v="1900"/>
        <n v="3200"/>
        <n v="2550"/>
        <n v="750"/>
        <n v="2200"/>
        <n v="1300"/>
        <n v="3400"/>
        <n v="2750"/>
        <n v="1950"/>
        <n v="1600"/>
      </sharedItems>
    </cacheField>
    <cacheField name="Net Revenue" numFmtId="0">
      <sharedItems containsSemiMixedTypes="0" containsString="0" containsNumber="1" minValue="712.5" maxValue="3995.0000000000005"/>
    </cacheField>
    <cacheField name="Order Classification" numFmtId="0">
      <sharedItems/>
    </cacheField>
    <cacheField name="Priority Channel" numFmtId="0">
      <sharedItems/>
    </cacheField>
    <cacheField name="Region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s v="01-Jan-24"/>
    <x v="0"/>
    <x v="0"/>
    <x v="0"/>
    <s v="Dell Inspiron"/>
    <n v="3"/>
    <n v="800"/>
    <n v="5"/>
    <x v="0"/>
    <s v="?"/>
    <s v="2 years 2 months 16 days"/>
    <x v="0"/>
    <n v="2280"/>
    <s v="Medium"/>
    <s v="Low"/>
    <s v="Asia"/>
  </r>
  <r>
    <n v="1002"/>
    <d v="2024-01-02T00:00:00"/>
    <x v="1"/>
    <x v="1"/>
    <x v="1"/>
    <s v="iPhone 14"/>
    <n v="2"/>
    <n v="900"/>
    <n v="3"/>
    <x v="1"/>
    <s v="?"/>
    <s v="2 years 2 months 15 days"/>
    <x v="1"/>
    <n v="1746"/>
    <s v="Medium"/>
    <s v="Medium"/>
    <s v="North America"/>
  </r>
  <r>
    <n v="1003"/>
    <s v="02-Jan-24"/>
    <x v="0"/>
    <x v="2"/>
    <x v="2"/>
    <s v="iPad Air"/>
    <n v="4"/>
    <n v="600"/>
    <n v="4"/>
    <x v="0"/>
    <s v="?"/>
    <s v="2 years 2 months 15 days"/>
    <x v="0"/>
    <n v="2304"/>
    <s v="Medium"/>
    <s v="Medium"/>
    <s v="Asia"/>
  </r>
  <r>
    <n v="1004"/>
    <s v="03-Jan-24"/>
    <x v="2"/>
    <x v="3"/>
    <x v="0"/>
    <s v="HP Pavilion"/>
    <n v="2"/>
    <n v="750"/>
    <n v="5"/>
    <x v="1"/>
    <s v="?"/>
    <s v="2 years 2 months 14 days"/>
    <x v="2"/>
    <n v="1425"/>
    <s v="Low"/>
    <s v="Medium"/>
    <s v="Europe"/>
  </r>
  <r>
    <n v="1005"/>
    <s v="03-Jan-24"/>
    <x v="3"/>
    <x v="4"/>
    <x v="1"/>
    <s v="Samsung S23"/>
    <n v="5"/>
    <n v="850"/>
    <n v="6"/>
    <x v="0"/>
    <s v="?"/>
    <s v="2 years 2 months 14 days"/>
    <x v="3"/>
    <n v="3995.0000000000005"/>
    <s v="High"/>
    <s v="High"/>
    <s v="Europe"/>
  </r>
  <r>
    <n v="1006"/>
    <s v="04-Jan-24"/>
    <x v="0"/>
    <x v="5"/>
    <x v="0"/>
    <s v="MacBook Air"/>
    <n v="1"/>
    <n v="1200"/>
    <n v="2"/>
    <x v="0"/>
    <s v="?"/>
    <s v="2 years 2 months 13 days"/>
    <x v="4"/>
    <n v="1176"/>
    <s v="Low"/>
    <s v="Low"/>
    <s v="Asia"/>
  </r>
  <r>
    <n v="1007"/>
    <s v="04-Jan-24"/>
    <x v="1"/>
    <x v="6"/>
    <x v="2"/>
    <s v="Samsung Tab"/>
    <n v="3"/>
    <n v="550"/>
    <n v="4"/>
    <x v="1"/>
    <s v="?"/>
    <s v="2 years 2 months 13 days"/>
    <x v="5"/>
    <n v="1584"/>
    <s v="Medium"/>
    <s v="Medium"/>
    <s v="North America"/>
  </r>
  <r>
    <n v="1008"/>
    <s v="05-Jan-24"/>
    <x v="0"/>
    <x v="7"/>
    <x v="1"/>
    <s v="OnePlus 11"/>
    <n v="6"/>
    <n v="650"/>
    <n v="5"/>
    <x v="0"/>
    <s v="?"/>
    <s v="2 years 2 months 12 days"/>
    <x v="6"/>
    <n v="3705.0000000000005"/>
    <s v="High"/>
    <s v="High"/>
    <s v="Asia"/>
  </r>
  <r>
    <n v="1009"/>
    <s v="06-Jan-24"/>
    <x v="2"/>
    <x v="8"/>
    <x v="0"/>
    <s v="Lenovo ThinkPad"/>
    <n v="2"/>
    <n v="950"/>
    <n v="3"/>
    <x v="1"/>
    <s v="?"/>
    <s v="2 years 2 months 11 days"/>
    <x v="7"/>
    <n v="1843"/>
    <s v="Medium"/>
    <s v="Medium"/>
    <e v="#N/A"/>
  </r>
  <r>
    <n v="1010"/>
    <s v="06-Jan-24"/>
    <x v="0"/>
    <x v="9"/>
    <x v="2"/>
    <s v="iPad Air"/>
    <n v="3"/>
    <n v="600"/>
    <n v="4"/>
    <x v="0"/>
    <s v="?"/>
    <s v="2 years 2 months 11 days"/>
    <x v="1"/>
    <n v="1728"/>
    <s v="Medium"/>
    <s v="Low"/>
    <s v="Asia"/>
  </r>
  <r>
    <n v="1011"/>
    <s v="07-Jan-24"/>
    <x v="3"/>
    <x v="10"/>
    <x v="0"/>
    <s v="Dell Inspiron"/>
    <n v="4"/>
    <n v="800"/>
    <n v="5"/>
    <x v="1"/>
    <s v="?"/>
    <s v="2 years 2 months 10 days"/>
    <x v="8"/>
    <n v="3040"/>
    <s v="High"/>
    <s v="Medium"/>
    <e v="#N/A"/>
  </r>
  <r>
    <n v="1012"/>
    <s v="07-Jan-24"/>
    <x v="1"/>
    <x v="11"/>
    <x v="1"/>
    <s v="iPhone 14"/>
    <n v="2"/>
    <n v="900"/>
    <n v="3"/>
    <x v="0"/>
    <s v="?"/>
    <s v="2 years 2 months 10 days"/>
    <x v="1"/>
    <n v="1746"/>
    <s v="Medium"/>
    <s v="Low"/>
    <e v="#N/A"/>
  </r>
  <r>
    <n v="1013"/>
    <s v="08-Jan-24"/>
    <x v="0"/>
    <x v="12"/>
    <x v="1"/>
    <s v="Samsung S23"/>
    <n v="3"/>
    <n v="850"/>
    <n v="6"/>
    <x v="0"/>
    <s v="?"/>
    <s v="2 years 2 months 9 days"/>
    <x v="9"/>
    <n v="2397"/>
    <s v="Medium"/>
    <s v="Low"/>
    <s v="Asia"/>
  </r>
  <r>
    <n v="1014"/>
    <s v="08-Jan-24"/>
    <x v="2"/>
    <x v="13"/>
    <x v="0"/>
    <s v="HP Pavilion"/>
    <n v="1"/>
    <n v="750"/>
    <n v="5"/>
    <x v="1"/>
    <s v="?"/>
    <s v="2 years 2 months 9 days"/>
    <x v="10"/>
    <n v="712.5"/>
    <s v="Low"/>
    <s v="Medium"/>
    <e v="#N/A"/>
  </r>
  <r>
    <n v="1015"/>
    <s v="09-Jan-24"/>
    <x v="0"/>
    <x v="14"/>
    <x v="2"/>
    <s v="Samsung Tab"/>
    <n v="4"/>
    <n v="550"/>
    <n v="4"/>
    <x v="0"/>
    <s v="?"/>
    <s v="2 years 2 months 8 days"/>
    <x v="11"/>
    <n v="2112"/>
    <s v="Medium"/>
    <s v="Medium"/>
    <e v="#N/A"/>
  </r>
  <r>
    <n v="1016"/>
    <s v="09-Jan-24"/>
    <x v="3"/>
    <x v="15"/>
    <x v="1"/>
    <s v="OnePlus 11"/>
    <n v="2"/>
    <n v="650"/>
    <n v="5"/>
    <x v="1"/>
    <s v="?"/>
    <s v="2 years 2 months 8 days"/>
    <x v="12"/>
    <n v="1235"/>
    <s v="Low"/>
    <s v="Medium"/>
    <e v="#N/A"/>
  </r>
  <r>
    <n v="1017"/>
    <s v="10-Jan-24"/>
    <x v="1"/>
    <x v="16"/>
    <x v="0"/>
    <s v="MacBook Air"/>
    <n v="1"/>
    <n v="1200"/>
    <n v="2"/>
    <x v="0"/>
    <s v="?"/>
    <s v="2 years 2 months 7 days"/>
    <x v="4"/>
    <n v="1176"/>
    <s v="Low"/>
    <s v="Low"/>
    <e v="#N/A"/>
  </r>
  <r>
    <n v="1018"/>
    <s v="10-Jan-24"/>
    <x v="0"/>
    <x v="17"/>
    <x v="0"/>
    <s v="Dell Inspiron"/>
    <n v="3"/>
    <n v="800"/>
    <n v="5"/>
    <x v="0"/>
    <s v="?"/>
    <s v="2 years 2 months 7 days"/>
    <x v="0"/>
    <n v="2280"/>
    <s v="Medium"/>
    <s v="Low"/>
    <e v="#N/A"/>
  </r>
  <r>
    <n v="1019"/>
    <s v="11-Jan-24"/>
    <x v="2"/>
    <x v="2"/>
    <x v="1"/>
    <s v="iPhone 14"/>
    <n v="2"/>
    <n v="900"/>
    <n v="3"/>
    <x v="1"/>
    <s v="?"/>
    <s v="2 years 2 months 6 days"/>
    <x v="1"/>
    <n v="1746"/>
    <s v="Medium"/>
    <s v="Medium"/>
    <s v="Asia"/>
  </r>
  <r>
    <n v="1020"/>
    <s v="11-Jan-24"/>
    <x v="3"/>
    <x v="3"/>
    <x v="2"/>
    <s v="iPad Air"/>
    <n v="3"/>
    <n v="600"/>
    <n v="4"/>
    <x v="0"/>
    <s v="?"/>
    <s v="2 years 2 months 6 days"/>
    <x v="1"/>
    <n v="1728"/>
    <s v="Medium"/>
    <s v="Low"/>
    <s v="Europe"/>
  </r>
  <r>
    <n v="1021"/>
    <s v="12-Jan-24"/>
    <x v="0"/>
    <x v="4"/>
    <x v="1"/>
    <s v="Samsung S23"/>
    <n v="4"/>
    <n v="850"/>
    <n v="6"/>
    <x v="0"/>
    <s v="?"/>
    <s v="2 years 2 months 5 days"/>
    <x v="13"/>
    <n v="3196"/>
    <s v="High"/>
    <s v="High"/>
    <s v="Europe"/>
  </r>
  <r>
    <n v="1022"/>
    <s v="12-Jan-24"/>
    <x v="1"/>
    <x v="5"/>
    <x v="0"/>
    <s v="Lenovo ThinkPad"/>
    <n v="2"/>
    <n v="950"/>
    <n v="3"/>
    <x v="1"/>
    <s v="?"/>
    <s v="2 years 2 months 5 days"/>
    <x v="7"/>
    <n v="1843"/>
    <s v="Medium"/>
    <s v="Medium"/>
    <s v="Asia"/>
  </r>
  <r>
    <n v="1023"/>
    <s v="13-Jan-24"/>
    <x v="0"/>
    <x v="7"/>
    <x v="2"/>
    <s v="Samsung Tab"/>
    <n v="5"/>
    <n v="550"/>
    <n v="4"/>
    <x v="0"/>
    <s v="?"/>
    <s v="2 years 2 months 4 days"/>
    <x v="14"/>
    <n v="2640"/>
    <s v="Medium"/>
    <s v="High"/>
    <s v="Asia"/>
  </r>
  <r>
    <n v="1024"/>
    <s v="13-Jan-24"/>
    <x v="2"/>
    <x v="6"/>
    <x v="0"/>
    <s v="HP Pavilion"/>
    <n v="2"/>
    <n v="750"/>
    <n v="5"/>
    <x v="1"/>
    <s v="?"/>
    <s v="2 years 2 months 4 days"/>
    <x v="2"/>
    <n v="1425"/>
    <s v="Low"/>
    <s v="Medium"/>
    <s v="North America"/>
  </r>
  <r>
    <n v="1025"/>
    <s v="14-Jan-24"/>
    <x v="0"/>
    <x v="9"/>
    <x v="1"/>
    <s v="OnePlus 11"/>
    <n v="3"/>
    <n v="650"/>
    <n v="5"/>
    <x v="0"/>
    <s v="?"/>
    <s v="2 years 2 months 3 days"/>
    <x v="15"/>
    <n v="1852.5000000000002"/>
    <s v="Medium"/>
    <s v="Low"/>
    <s v="Asia"/>
  </r>
  <r>
    <n v="1026"/>
    <s v="14-Jan-24"/>
    <x v="3"/>
    <x v="12"/>
    <x v="0"/>
    <s v="MacBook Air"/>
    <n v="1"/>
    <n v="1200"/>
    <n v="2"/>
    <x v="1"/>
    <s v="?"/>
    <s v="2 years 2 months 3 days"/>
    <x v="4"/>
    <n v="1176"/>
    <s v="Low"/>
    <s v="Medium"/>
    <s v="Asia"/>
  </r>
  <r>
    <n v="1027"/>
    <s v="15-Jan-24"/>
    <x v="1"/>
    <x v="14"/>
    <x v="2"/>
    <s v="iPad Air"/>
    <n v="4"/>
    <n v="600"/>
    <n v="4"/>
    <x v="0"/>
    <s v="?"/>
    <s v="2 years 2 months 2 days"/>
    <x v="0"/>
    <n v="2304"/>
    <s v="Medium"/>
    <s v="Medium"/>
    <e v="#N/A"/>
  </r>
  <r>
    <n v="1028"/>
    <s v="15-Jan-24"/>
    <x v="0"/>
    <x v="15"/>
    <x v="0"/>
    <s v="Dell Inspiron"/>
    <n v="2"/>
    <n v="800"/>
    <n v="5"/>
    <x v="0"/>
    <s v="?"/>
    <s v="2 years 2 months 2 days"/>
    <x v="16"/>
    <n v="1520"/>
    <s v="Medium"/>
    <s v="Low"/>
    <e v="#N/A"/>
  </r>
  <r>
    <n v="1029"/>
    <s v="16-Jan-24"/>
    <x v="2"/>
    <x v="16"/>
    <x v="1"/>
    <s v="Samsung S23"/>
    <n v="3"/>
    <n v="850"/>
    <n v="6"/>
    <x v="1"/>
    <s v="?"/>
    <s v="2 years 2 months 1 days"/>
    <x v="9"/>
    <n v="2397"/>
    <s v="Medium"/>
    <s v="Medium"/>
    <e v="#N/A"/>
  </r>
  <r>
    <n v="1030"/>
    <s v="16-Jan-24"/>
    <x v="0"/>
    <x v="1"/>
    <x v="2"/>
    <s v="Samsung Tab"/>
    <n v="4"/>
    <n v="550"/>
    <n v="4"/>
    <x v="0"/>
    <s v="?"/>
    <s v="2 years 2 months 1 days"/>
    <x v="11"/>
    <n v="2112"/>
    <s v="Medium"/>
    <s v="Medium"/>
    <s v="North Ameri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A22-6AB5-48ED-A327-EEEED65A80A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7" firstHeaderRow="1" firstDataRow="1" firstDataCol="1"/>
  <pivotFields count="1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18">
        <item x="10"/>
        <item x="4"/>
        <item x="12"/>
        <item x="2"/>
        <item x="16"/>
        <item x="5"/>
        <item x="1"/>
        <item x="7"/>
        <item x="15"/>
        <item x="11"/>
        <item x="0"/>
        <item x="9"/>
        <item x="14"/>
        <item x="8"/>
        <item x="13"/>
        <item x="6"/>
        <item x="3"/>
        <item t="default"/>
      </items>
    </pivotField>
    <pivotField showAll="0"/>
    <pivotField showAll="0"/>
    <pivotField showAll="0"/>
    <pivotField showAll="0"/>
  </pivotFields>
  <rowFields count="2">
    <field x="9"/>
    <field x="2"/>
  </rowFields>
  <rowItems count="9">
    <i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 t="grand">
      <x/>
    </i>
  </rowItems>
  <colItems count="1">
    <i/>
  </colItems>
  <dataFields count="1">
    <dataField name="Sum of Gross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C11A-91BE-4693-A9E6-D53657F406E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5" firstHeaderRow="1" firstDataRow="1" firstDataCol="1"/>
  <pivotFields count="17"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18">
        <item x="10"/>
        <item x="4"/>
        <item x="12"/>
        <item x="2"/>
        <item x="16"/>
        <item x="5"/>
        <item x="1"/>
        <item x="7"/>
        <item x="15"/>
        <item x="11"/>
        <item x="0"/>
        <item x="9"/>
        <item x="14"/>
        <item x="8"/>
        <item x="13"/>
        <item x="6"/>
        <item x="3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 Sol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A6F9F-6281-40D9-B693-CDC955C6DA2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7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8">
        <item x="10"/>
        <item x="4"/>
        <item x="12"/>
        <item x="2"/>
        <item x="16"/>
        <item x="5"/>
        <item x="1"/>
        <item x="7"/>
        <item x="15"/>
        <item x="11"/>
        <item x="0"/>
        <item x="9"/>
        <item x="14"/>
        <item x="8"/>
        <item x="13"/>
        <item x="6"/>
        <item x="3"/>
        <item t="default"/>
      </items>
    </pivotField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Gross Revenu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"/>
  <sheetViews>
    <sheetView tabSelected="1" zoomScale="78" zoomScaleNormal="99" workbookViewId="0">
      <selection activeCell="J45" sqref="J45"/>
    </sheetView>
  </sheetViews>
  <sheetFormatPr defaultRowHeight="14.4" x14ac:dyDescent="0.3"/>
  <cols>
    <col min="1" max="1" width="7.88671875" bestFit="1" customWidth="1"/>
    <col min="2" max="2" width="10" bestFit="1" customWidth="1"/>
    <col min="3" max="3" width="8.33203125" bestFit="1" customWidth="1"/>
    <col min="4" max="4" width="8.6640625" bestFit="1" customWidth="1"/>
    <col min="5" max="5" width="15.21875" bestFit="1" customWidth="1"/>
    <col min="6" max="6" width="14.88671875" bestFit="1" customWidth="1"/>
    <col min="7" max="7" width="9.109375" bestFit="1" customWidth="1"/>
    <col min="9" max="9" width="10" bestFit="1" customWidth="1"/>
    <col min="10" max="10" width="7.5546875" bestFit="1" customWidth="1"/>
    <col min="12" max="12" width="21.777343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62</v>
      </c>
      <c r="L1" s="7" t="s">
        <v>67</v>
      </c>
      <c r="M1" s="8" t="s">
        <v>68</v>
      </c>
      <c r="N1" s="8" t="s">
        <v>69</v>
      </c>
      <c r="O1" s="8" t="s">
        <v>70</v>
      </c>
      <c r="P1" s="8" t="s">
        <v>71</v>
      </c>
      <c r="Q1" s="8" t="s">
        <v>62</v>
      </c>
    </row>
    <row r="2" spans="1:17" x14ac:dyDescent="0.3">
      <c r="A2" s="3">
        <v>1001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3</v>
      </c>
      <c r="H2" s="3">
        <v>800</v>
      </c>
      <c r="I2" s="3">
        <v>5</v>
      </c>
      <c r="J2" s="3" t="s">
        <v>15</v>
      </c>
      <c r="K2" s="4" t="s">
        <v>66</v>
      </c>
      <c r="L2" s="4" t="str">
        <f ca="1">DATEDIF(B2,TODAY(),"Y")&amp;" years "&amp;DATEDIF(B2,TODAY(),"YM")&amp;" months "&amp;DATEDIF(B2,TODAY(),"MD")&amp;" days"</f>
        <v>2 years 2 months 16 days</v>
      </c>
      <c r="M2">
        <f>G2*H2</f>
        <v>2400</v>
      </c>
      <c r="N2">
        <f>(100-I2)*0.01*M2</f>
        <v>2280</v>
      </c>
      <c r="O2" t="str">
        <f>IF(AND(N2&gt;=3000,G2&gt;=3),"High",
IF(AND(N2&gt;=1500,N2&lt;=2999),"Medium",
"Low"))</f>
        <v>Medium</v>
      </c>
      <c r="P2" t="str">
        <f>IF(AND(J2="Online",N2&gt;=2500),"High",
IF(OR(J2="Retail",G2&gt;=4),"Medium",
"Low"))</f>
        <v>Low</v>
      </c>
      <c r="Q2" t="str">
        <f>VLOOKUP(D2,Sheet1!A:B,2,FALSE)</f>
        <v>Asia</v>
      </c>
    </row>
    <row r="3" spans="1:17" x14ac:dyDescent="0.3">
      <c r="A3" s="3">
        <v>1002</v>
      </c>
      <c r="B3" s="9">
        <v>45293</v>
      </c>
      <c r="C3" s="3" t="s">
        <v>17</v>
      </c>
      <c r="D3" s="3" t="s">
        <v>18</v>
      </c>
      <c r="E3" s="3" t="s">
        <v>19</v>
      </c>
      <c r="F3" s="3" t="s">
        <v>20</v>
      </c>
      <c r="G3" s="3">
        <v>2</v>
      </c>
      <c r="H3" s="3">
        <v>900</v>
      </c>
      <c r="I3" s="3">
        <v>3</v>
      </c>
      <c r="J3" s="3" t="s">
        <v>21</v>
      </c>
      <c r="K3" s="4" t="s">
        <v>66</v>
      </c>
      <c r="L3" s="4" t="str">
        <f ca="1">DATEDIF(B3,TODAY(),"Y")&amp;" years "&amp;DATEDIF(B3,TODAY(),"YM")&amp;" months "&amp;DATEDIF(B3,TODAY(),"MD")&amp;" days"</f>
        <v>2 years 2 months 15 days</v>
      </c>
      <c r="M3">
        <f t="shared" ref="M3:M31" si="0">G3*H3</f>
        <v>1800</v>
      </c>
      <c r="N3">
        <f t="shared" ref="N3:N31" si="1">(100-I3)*0.01*M3</f>
        <v>1746</v>
      </c>
      <c r="O3" t="str">
        <f t="shared" ref="O3:O31" si="2">IF(AND(N3&gt;=3000,G3&gt;=3),"High",
IF(AND(N3&gt;=1500,N3&lt;=2999),"Medium",
"Low"))</f>
        <v>Medium</v>
      </c>
      <c r="P3" t="str">
        <f t="shared" ref="P3:P31" si="3">IF(AND(J3="Online",N3&gt;=2500),"High",
IF(OR(J3="Retail",G3&gt;=4),"Medium",
"Low"))</f>
        <v>Medium</v>
      </c>
      <c r="Q3" t="str">
        <f>VLOOKUP(D3,Sheet1!A:B,2,FALSE)</f>
        <v>North America</v>
      </c>
    </row>
    <row r="4" spans="1:17" x14ac:dyDescent="0.3">
      <c r="A4" s="3">
        <v>1003</v>
      </c>
      <c r="B4" s="3" t="s">
        <v>16</v>
      </c>
      <c r="C4" s="3" t="s">
        <v>11</v>
      </c>
      <c r="D4" s="3" t="s">
        <v>22</v>
      </c>
      <c r="E4" s="3" t="s">
        <v>23</v>
      </c>
      <c r="F4" s="3" t="s">
        <v>24</v>
      </c>
      <c r="G4" s="3">
        <v>4</v>
      </c>
      <c r="H4" s="3">
        <v>600</v>
      </c>
      <c r="I4" s="3">
        <v>4</v>
      </c>
      <c r="J4" s="3" t="s">
        <v>15</v>
      </c>
      <c r="K4" s="4" t="s">
        <v>66</v>
      </c>
      <c r="L4" s="4" t="str">
        <f t="shared" ref="L4:L31" ca="1" si="4">DATEDIF(B4,TODAY(),"Y")&amp;" years "&amp;DATEDIF(B4,TODAY(),"YM")&amp;" months "&amp;DATEDIF(B4,TODAY(),"MD")&amp;" days"</f>
        <v>2 years 2 months 15 days</v>
      </c>
      <c r="M4">
        <f t="shared" si="0"/>
        <v>2400</v>
      </c>
      <c r="N4">
        <f t="shared" si="1"/>
        <v>2304</v>
      </c>
      <c r="O4" t="str">
        <f t="shared" si="2"/>
        <v>Medium</v>
      </c>
      <c r="P4" t="str">
        <f t="shared" si="3"/>
        <v>Medium</v>
      </c>
      <c r="Q4" t="str">
        <f>VLOOKUP(D4,Sheet1!A:B,2,FALSE)</f>
        <v>Asia</v>
      </c>
    </row>
    <row r="5" spans="1:17" x14ac:dyDescent="0.3">
      <c r="A5" s="3">
        <v>1004</v>
      </c>
      <c r="B5" s="3" t="s">
        <v>25</v>
      </c>
      <c r="C5" s="3" t="s">
        <v>26</v>
      </c>
      <c r="D5" s="3" t="s">
        <v>27</v>
      </c>
      <c r="E5" s="3" t="s">
        <v>13</v>
      </c>
      <c r="F5" s="3" t="s">
        <v>28</v>
      </c>
      <c r="G5" s="3">
        <v>2</v>
      </c>
      <c r="H5" s="3">
        <v>750</v>
      </c>
      <c r="I5" s="3">
        <v>5</v>
      </c>
      <c r="J5" s="3" t="s">
        <v>21</v>
      </c>
      <c r="K5" s="4" t="s">
        <v>66</v>
      </c>
      <c r="L5" s="4" t="str">
        <f t="shared" ca="1" si="4"/>
        <v>2 years 2 months 14 days</v>
      </c>
      <c r="M5">
        <f t="shared" si="0"/>
        <v>1500</v>
      </c>
      <c r="N5">
        <f t="shared" si="1"/>
        <v>1425</v>
      </c>
      <c r="O5" t="str">
        <f t="shared" si="2"/>
        <v>Low</v>
      </c>
      <c r="P5" t="str">
        <f t="shared" si="3"/>
        <v>Medium</v>
      </c>
      <c r="Q5" t="str">
        <f>VLOOKUP(D5,Sheet1!A:B,2,FALSE)</f>
        <v>Europe</v>
      </c>
    </row>
    <row r="6" spans="1:17" x14ac:dyDescent="0.3">
      <c r="A6" s="3">
        <v>1005</v>
      </c>
      <c r="B6" s="3" t="s">
        <v>25</v>
      </c>
      <c r="C6" s="3" t="s">
        <v>29</v>
      </c>
      <c r="D6" s="3" t="s">
        <v>30</v>
      </c>
      <c r="E6" s="3" t="s">
        <v>19</v>
      </c>
      <c r="F6" s="3" t="s">
        <v>31</v>
      </c>
      <c r="G6" s="3">
        <v>5</v>
      </c>
      <c r="H6" s="3">
        <v>850</v>
      </c>
      <c r="I6" s="3">
        <v>6</v>
      </c>
      <c r="J6" s="3" t="s">
        <v>15</v>
      </c>
      <c r="K6" s="4" t="s">
        <v>66</v>
      </c>
      <c r="L6" s="4" t="str">
        <f t="shared" ca="1" si="4"/>
        <v>2 years 2 months 14 days</v>
      </c>
      <c r="M6">
        <f t="shared" si="0"/>
        <v>4250</v>
      </c>
      <c r="N6">
        <f t="shared" si="1"/>
        <v>3995.0000000000005</v>
      </c>
      <c r="O6" t="str">
        <f t="shared" si="2"/>
        <v>High</v>
      </c>
      <c r="P6" t="str">
        <f t="shared" si="3"/>
        <v>High</v>
      </c>
      <c r="Q6" t="str">
        <f>VLOOKUP(D6,Sheet1!A:B,2,FALSE)</f>
        <v>Europe</v>
      </c>
    </row>
    <row r="7" spans="1:17" x14ac:dyDescent="0.3">
      <c r="A7" s="3">
        <v>1006</v>
      </c>
      <c r="B7" s="3" t="s">
        <v>32</v>
      </c>
      <c r="C7" s="3" t="s">
        <v>11</v>
      </c>
      <c r="D7" s="3" t="s">
        <v>33</v>
      </c>
      <c r="E7" s="3" t="s">
        <v>13</v>
      </c>
      <c r="F7" s="3" t="s">
        <v>34</v>
      </c>
      <c r="G7" s="3">
        <v>1</v>
      </c>
      <c r="H7" s="3">
        <v>1200</v>
      </c>
      <c r="I7" s="3">
        <v>2</v>
      </c>
      <c r="J7" s="3" t="s">
        <v>15</v>
      </c>
      <c r="K7" s="4" t="s">
        <v>66</v>
      </c>
      <c r="L7" s="4" t="str">
        <f t="shared" ca="1" si="4"/>
        <v>2 years 2 months 13 days</v>
      </c>
      <c r="M7">
        <f t="shared" si="0"/>
        <v>1200</v>
      </c>
      <c r="N7">
        <f t="shared" si="1"/>
        <v>1176</v>
      </c>
      <c r="O7" t="str">
        <f t="shared" si="2"/>
        <v>Low</v>
      </c>
      <c r="P7" t="str">
        <f t="shared" si="3"/>
        <v>Low</v>
      </c>
      <c r="Q7" t="str">
        <f>VLOOKUP(D7,Sheet1!A:B,2,FALSE)</f>
        <v>Asia</v>
      </c>
    </row>
    <row r="8" spans="1:17" x14ac:dyDescent="0.3">
      <c r="A8" s="3">
        <v>1007</v>
      </c>
      <c r="B8" s="3" t="s">
        <v>32</v>
      </c>
      <c r="C8" s="3" t="s">
        <v>17</v>
      </c>
      <c r="D8" s="3" t="s">
        <v>35</v>
      </c>
      <c r="E8" s="3" t="s">
        <v>23</v>
      </c>
      <c r="F8" s="3" t="s">
        <v>36</v>
      </c>
      <c r="G8" s="3">
        <v>3</v>
      </c>
      <c r="H8" s="3">
        <v>550</v>
      </c>
      <c r="I8" s="3">
        <v>4</v>
      </c>
      <c r="J8" s="3" t="s">
        <v>21</v>
      </c>
      <c r="K8" s="4" t="s">
        <v>66</v>
      </c>
      <c r="L8" s="4" t="str">
        <f t="shared" ca="1" si="4"/>
        <v>2 years 2 months 13 days</v>
      </c>
      <c r="M8">
        <f t="shared" si="0"/>
        <v>1650</v>
      </c>
      <c r="N8">
        <f t="shared" si="1"/>
        <v>1584</v>
      </c>
      <c r="O8" t="str">
        <f t="shared" si="2"/>
        <v>Medium</v>
      </c>
      <c r="P8" t="str">
        <f t="shared" si="3"/>
        <v>Medium</v>
      </c>
      <c r="Q8" t="str">
        <f>VLOOKUP(D8,Sheet1!A:B,2,FALSE)</f>
        <v>North America</v>
      </c>
    </row>
    <row r="9" spans="1:17" x14ac:dyDescent="0.3">
      <c r="A9" s="3">
        <v>1008</v>
      </c>
      <c r="B9" s="3" t="s">
        <v>37</v>
      </c>
      <c r="C9" s="3" t="s">
        <v>11</v>
      </c>
      <c r="D9" s="3" t="s">
        <v>38</v>
      </c>
      <c r="E9" s="3" t="s">
        <v>19</v>
      </c>
      <c r="F9" s="3" t="s">
        <v>39</v>
      </c>
      <c r="G9" s="3">
        <v>6</v>
      </c>
      <c r="H9" s="3">
        <v>650</v>
      </c>
      <c r="I9" s="3">
        <v>5</v>
      </c>
      <c r="J9" s="3" t="s">
        <v>15</v>
      </c>
      <c r="K9" s="4" t="s">
        <v>66</v>
      </c>
      <c r="L9" s="4" t="str">
        <f t="shared" ca="1" si="4"/>
        <v>2 years 2 months 12 days</v>
      </c>
      <c r="M9">
        <f t="shared" si="0"/>
        <v>3900</v>
      </c>
      <c r="N9">
        <f t="shared" si="1"/>
        <v>3705.0000000000005</v>
      </c>
      <c r="O9" t="str">
        <f t="shared" si="2"/>
        <v>High</v>
      </c>
      <c r="P9" t="str">
        <f t="shared" si="3"/>
        <v>High</v>
      </c>
      <c r="Q9" t="str">
        <f>VLOOKUP(D9,Sheet1!A:B,2,FALSE)</f>
        <v>Asia</v>
      </c>
    </row>
    <row r="10" spans="1:17" x14ac:dyDescent="0.3">
      <c r="A10" s="3">
        <v>1009</v>
      </c>
      <c r="B10" s="3" t="s">
        <v>40</v>
      </c>
      <c r="C10" s="3" t="s">
        <v>26</v>
      </c>
      <c r="D10" s="3" t="s">
        <v>41</v>
      </c>
      <c r="E10" s="3" t="s">
        <v>13</v>
      </c>
      <c r="F10" s="3" t="s">
        <v>42</v>
      </c>
      <c r="G10" s="3">
        <v>2</v>
      </c>
      <c r="H10" s="3">
        <v>950</v>
      </c>
      <c r="I10" s="3">
        <v>3</v>
      </c>
      <c r="J10" s="3" t="s">
        <v>21</v>
      </c>
      <c r="K10" s="4" t="s">
        <v>66</v>
      </c>
      <c r="L10" s="4" t="str">
        <f t="shared" ca="1" si="4"/>
        <v>2 years 2 months 11 days</v>
      </c>
      <c r="M10">
        <f t="shared" si="0"/>
        <v>1900</v>
      </c>
      <c r="N10">
        <f t="shared" si="1"/>
        <v>1843</v>
      </c>
      <c r="O10" t="str">
        <f t="shared" si="2"/>
        <v>Medium</v>
      </c>
      <c r="P10" t="str">
        <f t="shared" si="3"/>
        <v>Medium</v>
      </c>
      <c r="Q10" t="e">
        <f>VLOOKUP(D10,Sheet1!A:B,2,FALSE)</f>
        <v>#N/A</v>
      </c>
    </row>
    <row r="11" spans="1:17" x14ac:dyDescent="0.3">
      <c r="A11" s="3">
        <v>1010</v>
      </c>
      <c r="B11" s="3" t="s">
        <v>40</v>
      </c>
      <c r="C11" s="3" t="s">
        <v>11</v>
      </c>
      <c r="D11" s="3" t="s">
        <v>43</v>
      </c>
      <c r="E11" s="3" t="s">
        <v>23</v>
      </c>
      <c r="F11" s="3" t="s">
        <v>24</v>
      </c>
      <c r="G11" s="3">
        <v>3</v>
      </c>
      <c r="H11" s="3">
        <v>600</v>
      </c>
      <c r="I11" s="3">
        <v>4</v>
      </c>
      <c r="J11" s="3" t="s">
        <v>15</v>
      </c>
      <c r="K11" s="4" t="s">
        <v>66</v>
      </c>
      <c r="L11" s="4" t="str">
        <f t="shared" ca="1" si="4"/>
        <v>2 years 2 months 11 days</v>
      </c>
      <c r="M11">
        <f t="shared" si="0"/>
        <v>1800</v>
      </c>
      <c r="N11">
        <f t="shared" si="1"/>
        <v>1728</v>
      </c>
      <c r="O11" t="str">
        <f t="shared" si="2"/>
        <v>Medium</v>
      </c>
      <c r="P11" t="str">
        <f t="shared" si="3"/>
        <v>Low</v>
      </c>
      <c r="Q11" t="str">
        <f>VLOOKUP(D11,Sheet1!A:B,2,FALSE)</f>
        <v>Asia</v>
      </c>
    </row>
    <row r="12" spans="1:17" x14ac:dyDescent="0.3">
      <c r="A12" s="3">
        <v>1011</v>
      </c>
      <c r="B12" s="3" t="s">
        <v>44</v>
      </c>
      <c r="C12" s="3" t="s">
        <v>29</v>
      </c>
      <c r="D12" s="3" t="s">
        <v>45</v>
      </c>
      <c r="E12" s="3" t="s">
        <v>13</v>
      </c>
      <c r="F12" s="3" t="s">
        <v>14</v>
      </c>
      <c r="G12" s="3">
        <v>4</v>
      </c>
      <c r="H12" s="3">
        <v>800</v>
      </c>
      <c r="I12" s="3">
        <v>5</v>
      </c>
      <c r="J12" s="3" t="s">
        <v>21</v>
      </c>
      <c r="K12" s="4" t="s">
        <v>66</v>
      </c>
      <c r="L12" s="4" t="str">
        <f t="shared" ca="1" si="4"/>
        <v>2 years 2 months 10 days</v>
      </c>
      <c r="M12">
        <f t="shared" si="0"/>
        <v>3200</v>
      </c>
      <c r="N12">
        <f t="shared" si="1"/>
        <v>3040</v>
      </c>
      <c r="O12" t="str">
        <f t="shared" si="2"/>
        <v>High</v>
      </c>
      <c r="P12" t="str">
        <f t="shared" si="3"/>
        <v>Medium</v>
      </c>
      <c r="Q12" t="e">
        <f>VLOOKUP(D12,Sheet1!A:B,2,FALSE)</f>
        <v>#N/A</v>
      </c>
    </row>
    <row r="13" spans="1:17" x14ac:dyDescent="0.3">
      <c r="A13" s="3">
        <v>1012</v>
      </c>
      <c r="B13" s="3" t="s">
        <v>44</v>
      </c>
      <c r="C13" s="3" t="s">
        <v>17</v>
      </c>
      <c r="D13" s="3" t="s">
        <v>46</v>
      </c>
      <c r="E13" s="3" t="s">
        <v>19</v>
      </c>
      <c r="F13" s="3" t="s">
        <v>20</v>
      </c>
      <c r="G13" s="3">
        <v>2</v>
      </c>
      <c r="H13" s="3">
        <v>900</v>
      </c>
      <c r="I13" s="3">
        <v>3</v>
      </c>
      <c r="J13" s="3" t="s">
        <v>15</v>
      </c>
      <c r="K13" s="4" t="s">
        <v>66</v>
      </c>
      <c r="L13" s="4" t="str">
        <f t="shared" ca="1" si="4"/>
        <v>2 years 2 months 10 days</v>
      </c>
      <c r="M13">
        <f t="shared" si="0"/>
        <v>1800</v>
      </c>
      <c r="N13">
        <f t="shared" si="1"/>
        <v>1746</v>
      </c>
      <c r="O13" t="str">
        <f t="shared" si="2"/>
        <v>Medium</v>
      </c>
      <c r="P13" t="str">
        <f t="shared" si="3"/>
        <v>Low</v>
      </c>
      <c r="Q13" t="e">
        <f>VLOOKUP(D13,Sheet1!A:B,2,FALSE)</f>
        <v>#N/A</v>
      </c>
    </row>
    <row r="14" spans="1:17" x14ac:dyDescent="0.3">
      <c r="A14" s="3">
        <v>1013</v>
      </c>
      <c r="B14" s="3" t="s">
        <v>47</v>
      </c>
      <c r="C14" s="3" t="s">
        <v>11</v>
      </c>
      <c r="D14" s="3" t="s">
        <v>48</v>
      </c>
      <c r="E14" s="3" t="s">
        <v>19</v>
      </c>
      <c r="F14" s="3" t="s">
        <v>31</v>
      </c>
      <c r="G14" s="3">
        <v>3</v>
      </c>
      <c r="H14" s="3">
        <v>850</v>
      </c>
      <c r="I14" s="3">
        <v>6</v>
      </c>
      <c r="J14" s="3" t="s">
        <v>15</v>
      </c>
      <c r="K14" s="4" t="s">
        <v>66</v>
      </c>
      <c r="L14" s="4" t="str">
        <f t="shared" ca="1" si="4"/>
        <v>2 years 2 months 9 days</v>
      </c>
      <c r="M14">
        <f t="shared" si="0"/>
        <v>2550</v>
      </c>
      <c r="N14">
        <f t="shared" si="1"/>
        <v>2397</v>
      </c>
      <c r="O14" t="str">
        <f t="shared" si="2"/>
        <v>Medium</v>
      </c>
      <c r="P14" t="str">
        <f t="shared" si="3"/>
        <v>Low</v>
      </c>
      <c r="Q14" t="str">
        <f>VLOOKUP(D14,Sheet1!A:B,2,FALSE)</f>
        <v>Asia</v>
      </c>
    </row>
    <row r="15" spans="1:17" x14ac:dyDescent="0.3">
      <c r="A15" s="3">
        <v>1014</v>
      </c>
      <c r="B15" s="3" t="s">
        <v>47</v>
      </c>
      <c r="C15" s="3" t="s">
        <v>26</v>
      </c>
      <c r="D15" s="3" t="s">
        <v>49</v>
      </c>
      <c r="E15" s="3" t="s">
        <v>13</v>
      </c>
      <c r="F15" s="3" t="s">
        <v>28</v>
      </c>
      <c r="G15" s="3">
        <v>1</v>
      </c>
      <c r="H15" s="3">
        <v>750</v>
      </c>
      <c r="I15" s="3">
        <v>5</v>
      </c>
      <c r="J15" s="3" t="s">
        <v>21</v>
      </c>
      <c r="K15" s="4" t="s">
        <v>66</v>
      </c>
      <c r="L15" s="4" t="str">
        <f t="shared" ca="1" si="4"/>
        <v>2 years 2 months 9 days</v>
      </c>
      <c r="M15">
        <f t="shared" si="0"/>
        <v>750</v>
      </c>
      <c r="N15">
        <f t="shared" si="1"/>
        <v>712.5</v>
      </c>
      <c r="O15" t="str">
        <f t="shared" si="2"/>
        <v>Low</v>
      </c>
      <c r="P15" t="str">
        <f t="shared" si="3"/>
        <v>Medium</v>
      </c>
      <c r="Q15" t="e">
        <f>VLOOKUP(D15,Sheet1!A:B,2,FALSE)</f>
        <v>#N/A</v>
      </c>
    </row>
    <row r="16" spans="1:17" x14ac:dyDescent="0.3">
      <c r="A16" s="3">
        <v>1015</v>
      </c>
      <c r="B16" s="3" t="s">
        <v>50</v>
      </c>
      <c r="C16" s="3" t="s">
        <v>11</v>
      </c>
      <c r="D16" s="3" t="s">
        <v>51</v>
      </c>
      <c r="E16" s="3" t="s">
        <v>23</v>
      </c>
      <c r="F16" s="3" t="s">
        <v>36</v>
      </c>
      <c r="G16" s="3">
        <v>4</v>
      </c>
      <c r="H16" s="3">
        <v>550</v>
      </c>
      <c r="I16" s="3">
        <v>4</v>
      </c>
      <c r="J16" s="3" t="s">
        <v>15</v>
      </c>
      <c r="K16" s="4" t="s">
        <v>66</v>
      </c>
      <c r="L16" s="4" t="str">
        <f t="shared" ca="1" si="4"/>
        <v>2 years 2 months 8 days</v>
      </c>
      <c r="M16">
        <f t="shared" si="0"/>
        <v>2200</v>
      </c>
      <c r="N16">
        <f t="shared" si="1"/>
        <v>2112</v>
      </c>
      <c r="O16" t="str">
        <f t="shared" si="2"/>
        <v>Medium</v>
      </c>
      <c r="P16" t="str">
        <f t="shared" si="3"/>
        <v>Medium</v>
      </c>
      <c r="Q16" t="e">
        <f>VLOOKUP(D16,Sheet1!A:B,2,FALSE)</f>
        <v>#N/A</v>
      </c>
    </row>
    <row r="17" spans="1:17" x14ac:dyDescent="0.3">
      <c r="A17" s="3">
        <v>1016</v>
      </c>
      <c r="B17" s="3" t="s">
        <v>50</v>
      </c>
      <c r="C17" s="3" t="s">
        <v>29</v>
      </c>
      <c r="D17" s="3" t="s">
        <v>52</v>
      </c>
      <c r="E17" s="3" t="s">
        <v>19</v>
      </c>
      <c r="F17" s="3" t="s">
        <v>39</v>
      </c>
      <c r="G17" s="3">
        <v>2</v>
      </c>
      <c r="H17" s="3">
        <v>650</v>
      </c>
      <c r="I17" s="3">
        <v>5</v>
      </c>
      <c r="J17" s="3" t="s">
        <v>21</v>
      </c>
      <c r="K17" s="4" t="s">
        <v>66</v>
      </c>
      <c r="L17" s="4" t="str">
        <f t="shared" ca="1" si="4"/>
        <v>2 years 2 months 8 days</v>
      </c>
      <c r="M17">
        <f t="shared" si="0"/>
        <v>1300</v>
      </c>
      <c r="N17">
        <f t="shared" si="1"/>
        <v>1235</v>
      </c>
      <c r="O17" t="str">
        <f t="shared" si="2"/>
        <v>Low</v>
      </c>
      <c r="P17" t="str">
        <f t="shared" si="3"/>
        <v>Medium</v>
      </c>
      <c r="Q17" t="e">
        <f>VLOOKUP(D17,Sheet1!A:B,2,FALSE)</f>
        <v>#N/A</v>
      </c>
    </row>
    <row r="18" spans="1:17" x14ac:dyDescent="0.3">
      <c r="A18" s="3">
        <v>1017</v>
      </c>
      <c r="B18" s="3" t="s">
        <v>53</v>
      </c>
      <c r="C18" s="3" t="s">
        <v>17</v>
      </c>
      <c r="D18" s="3" t="s">
        <v>54</v>
      </c>
      <c r="E18" s="3" t="s">
        <v>13</v>
      </c>
      <c r="F18" s="3" t="s">
        <v>34</v>
      </c>
      <c r="G18" s="3">
        <v>1</v>
      </c>
      <c r="H18" s="3">
        <v>1200</v>
      </c>
      <c r="I18" s="3">
        <v>2</v>
      </c>
      <c r="J18" s="3" t="s">
        <v>15</v>
      </c>
      <c r="K18" s="4" t="s">
        <v>66</v>
      </c>
      <c r="L18" s="4" t="str">
        <f t="shared" ca="1" si="4"/>
        <v>2 years 2 months 7 days</v>
      </c>
      <c r="M18">
        <f t="shared" si="0"/>
        <v>1200</v>
      </c>
      <c r="N18">
        <f t="shared" si="1"/>
        <v>1176</v>
      </c>
      <c r="O18" t="str">
        <f t="shared" si="2"/>
        <v>Low</v>
      </c>
      <c r="P18" t="str">
        <f t="shared" si="3"/>
        <v>Low</v>
      </c>
      <c r="Q18" t="e">
        <f>VLOOKUP(D18,Sheet1!A:B,2,FALSE)</f>
        <v>#N/A</v>
      </c>
    </row>
    <row r="19" spans="1:17" x14ac:dyDescent="0.3">
      <c r="A19" s="3">
        <v>1018</v>
      </c>
      <c r="B19" s="3" t="s">
        <v>53</v>
      </c>
      <c r="C19" s="3" t="s">
        <v>11</v>
      </c>
      <c r="D19" s="3" t="s">
        <v>55</v>
      </c>
      <c r="E19" s="3" t="s">
        <v>13</v>
      </c>
      <c r="F19" s="3" t="s">
        <v>14</v>
      </c>
      <c r="G19" s="3">
        <v>3</v>
      </c>
      <c r="H19" s="3">
        <v>800</v>
      </c>
      <c r="I19" s="3">
        <v>5</v>
      </c>
      <c r="J19" s="3" t="s">
        <v>15</v>
      </c>
      <c r="K19" s="4" t="s">
        <v>66</v>
      </c>
      <c r="L19" s="4" t="str">
        <f t="shared" ca="1" si="4"/>
        <v>2 years 2 months 7 days</v>
      </c>
      <c r="M19">
        <f t="shared" si="0"/>
        <v>2400</v>
      </c>
      <c r="N19">
        <f t="shared" si="1"/>
        <v>2280</v>
      </c>
      <c r="O19" t="str">
        <f t="shared" si="2"/>
        <v>Medium</v>
      </c>
      <c r="P19" t="str">
        <f t="shared" si="3"/>
        <v>Low</v>
      </c>
      <c r="Q19" t="e">
        <f>VLOOKUP(D19,Sheet1!A:B,2,FALSE)</f>
        <v>#N/A</v>
      </c>
    </row>
    <row r="20" spans="1:17" x14ac:dyDescent="0.3">
      <c r="A20" s="3">
        <v>1019</v>
      </c>
      <c r="B20" s="3" t="s">
        <v>56</v>
      </c>
      <c r="C20" s="3" t="s">
        <v>26</v>
      </c>
      <c r="D20" s="3" t="s">
        <v>22</v>
      </c>
      <c r="E20" s="3" t="s">
        <v>19</v>
      </c>
      <c r="F20" s="3" t="s">
        <v>20</v>
      </c>
      <c r="G20" s="3">
        <v>2</v>
      </c>
      <c r="H20" s="3">
        <v>900</v>
      </c>
      <c r="I20" s="3">
        <v>3</v>
      </c>
      <c r="J20" s="3" t="s">
        <v>21</v>
      </c>
      <c r="K20" s="4" t="s">
        <v>66</v>
      </c>
      <c r="L20" s="4" t="str">
        <f t="shared" ca="1" si="4"/>
        <v>2 years 2 months 6 days</v>
      </c>
      <c r="M20">
        <f t="shared" si="0"/>
        <v>1800</v>
      </c>
      <c r="N20">
        <f t="shared" si="1"/>
        <v>1746</v>
      </c>
      <c r="O20" t="str">
        <f t="shared" si="2"/>
        <v>Medium</v>
      </c>
      <c r="P20" t="str">
        <f t="shared" si="3"/>
        <v>Medium</v>
      </c>
      <c r="Q20" t="str">
        <f>VLOOKUP(D20,Sheet1!A:B,2,FALSE)</f>
        <v>Asia</v>
      </c>
    </row>
    <row r="21" spans="1:17" x14ac:dyDescent="0.3">
      <c r="A21" s="3">
        <v>1020</v>
      </c>
      <c r="B21" s="3" t="s">
        <v>56</v>
      </c>
      <c r="C21" s="3" t="s">
        <v>29</v>
      </c>
      <c r="D21" s="3" t="s">
        <v>27</v>
      </c>
      <c r="E21" s="3" t="s">
        <v>23</v>
      </c>
      <c r="F21" s="3" t="s">
        <v>24</v>
      </c>
      <c r="G21" s="3">
        <v>3</v>
      </c>
      <c r="H21" s="3">
        <v>600</v>
      </c>
      <c r="I21" s="3">
        <v>4</v>
      </c>
      <c r="J21" s="3" t="s">
        <v>15</v>
      </c>
      <c r="K21" s="4" t="s">
        <v>66</v>
      </c>
      <c r="L21" s="4" t="str">
        <f t="shared" ca="1" si="4"/>
        <v>2 years 2 months 6 days</v>
      </c>
      <c r="M21">
        <f t="shared" si="0"/>
        <v>1800</v>
      </c>
      <c r="N21">
        <f t="shared" si="1"/>
        <v>1728</v>
      </c>
      <c r="O21" t="str">
        <f t="shared" si="2"/>
        <v>Medium</v>
      </c>
      <c r="P21" t="str">
        <f t="shared" si="3"/>
        <v>Low</v>
      </c>
      <c r="Q21" t="str">
        <f>VLOOKUP(D21,Sheet1!A:B,2,FALSE)</f>
        <v>Europe</v>
      </c>
    </row>
    <row r="22" spans="1:17" x14ac:dyDescent="0.3">
      <c r="A22" s="3">
        <v>1021</v>
      </c>
      <c r="B22" s="3" t="s">
        <v>57</v>
      </c>
      <c r="C22" s="3" t="s">
        <v>11</v>
      </c>
      <c r="D22" s="3" t="s">
        <v>30</v>
      </c>
      <c r="E22" s="3" t="s">
        <v>19</v>
      </c>
      <c r="F22" s="3" t="s">
        <v>31</v>
      </c>
      <c r="G22" s="3">
        <v>4</v>
      </c>
      <c r="H22" s="3">
        <v>850</v>
      </c>
      <c r="I22" s="3">
        <v>6</v>
      </c>
      <c r="J22" s="3" t="s">
        <v>15</v>
      </c>
      <c r="K22" s="4" t="s">
        <v>66</v>
      </c>
      <c r="L22" s="4" t="str">
        <f t="shared" ca="1" si="4"/>
        <v>2 years 2 months 5 days</v>
      </c>
      <c r="M22">
        <f t="shared" si="0"/>
        <v>3400</v>
      </c>
      <c r="N22">
        <f t="shared" si="1"/>
        <v>3196</v>
      </c>
      <c r="O22" t="str">
        <f t="shared" si="2"/>
        <v>High</v>
      </c>
      <c r="P22" t="str">
        <f t="shared" si="3"/>
        <v>High</v>
      </c>
      <c r="Q22" t="str">
        <f>VLOOKUP(D22,Sheet1!A:B,2,FALSE)</f>
        <v>Europe</v>
      </c>
    </row>
    <row r="23" spans="1:17" x14ac:dyDescent="0.3">
      <c r="A23" s="3">
        <v>1022</v>
      </c>
      <c r="B23" s="3" t="s">
        <v>57</v>
      </c>
      <c r="C23" s="3" t="s">
        <v>17</v>
      </c>
      <c r="D23" s="3" t="s">
        <v>33</v>
      </c>
      <c r="E23" s="3" t="s">
        <v>13</v>
      </c>
      <c r="F23" s="3" t="s">
        <v>42</v>
      </c>
      <c r="G23" s="3">
        <v>2</v>
      </c>
      <c r="H23" s="3">
        <v>950</v>
      </c>
      <c r="I23" s="3">
        <v>3</v>
      </c>
      <c r="J23" s="3" t="s">
        <v>21</v>
      </c>
      <c r="K23" s="4" t="s">
        <v>66</v>
      </c>
      <c r="L23" s="4" t="str">
        <f t="shared" ca="1" si="4"/>
        <v>2 years 2 months 5 days</v>
      </c>
      <c r="M23">
        <f t="shared" si="0"/>
        <v>1900</v>
      </c>
      <c r="N23">
        <f t="shared" si="1"/>
        <v>1843</v>
      </c>
      <c r="O23" t="str">
        <f t="shared" si="2"/>
        <v>Medium</v>
      </c>
      <c r="P23" t="str">
        <f t="shared" si="3"/>
        <v>Medium</v>
      </c>
      <c r="Q23" t="str">
        <f>VLOOKUP(D23,Sheet1!A:B,2,FALSE)</f>
        <v>Asia</v>
      </c>
    </row>
    <row r="24" spans="1:17" x14ac:dyDescent="0.3">
      <c r="A24" s="3">
        <v>1023</v>
      </c>
      <c r="B24" s="3" t="s">
        <v>58</v>
      </c>
      <c r="C24" s="3" t="s">
        <v>11</v>
      </c>
      <c r="D24" s="3" t="s">
        <v>38</v>
      </c>
      <c r="E24" s="3" t="s">
        <v>23</v>
      </c>
      <c r="F24" s="3" t="s">
        <v>36</v>
      </c>
      <c r="G24" s="3">
        <v>5</v>
      </c>
      <c r="H24" s="3">
        <v>550</v>
      </c>
      <c r="I24" s="3">
        <v>4</v>
      </c>
      <c r="J24" s="3" t="s">
        <v>15</v>
      </c>
      <c r="K24" s="4" t="s">
        <v>66</v>
      </c>
      <c r="L24" s="4" t="str">
        <f t="shared" ca="1" si="4"/>
        <v>2 years 2 months 4 days</v>
      </c>
      <c r="M24">
        <f t="shared" si="0"/>
        <v>2750</v>
      </c>
      <c r="N24">
        <f t="shared" si="1"/>
        <v>2640</v>
      </c>
      <c r="O24" t="str">
        <f t="shared" si="2"/>
        <v>Medium</v>
      </c>
      <c r="P24" t="str">
        <f t="shared" si="3"/>
        <v>High</v>
      </c>
      <c r="Q24" t="str">
        <f>VLOOKUP(D24,Sheet1!A:B,2,FALSE)</f>
        <v>Asia</v>
      </c>
    </row>
    <row r="25" spans="1:17" x14ac:dyDescent="0.3">
      <c r="A25" s="3">
        <v>1024</v>
      </c>
      <c r="B25" s="3" t="s">
        <v>58</v>
      </c>
      <c r="C25" s="3" t="s">
        <v>26</v>
      </c>
      <c r="D25" s="3" t="s">
        <v>35</v>
      </c>
      <c r="E25" s="3" t="s">
        <v>13</v>
      </c>
      <c r="F25" s="3" t="s">
        <v>28</v>
      </c>
      <c r="G25" s="3">
        <v>2</v>
      </c>
      <c r="H25" s="3">
        <v>750</v>
      </c>
      <c r="I25" s="3">
        <v>5</v>
      </c>
      <c r="J25" s="3" t="s">
        <v>21</v>
      </c>
      <c r="K25" s="4" t="s">
        <v>66</v>
      </c>
      <c r="L25" s="4" t="str">
        <f t="shared" ca="1" si="4"/>
        <v>2 years 2 months 4 days</v>
      </c>
      <c r="M25">
        <f t="shared" si="0"/>
        <v>1500</v>
      </c>
      <c r="N25">
        <f t="shared" si="1"/>
        <v>1425</v>
      </c>
      <c r="O25" t="str">
        <f t="shared" si="2"/>
        <v>Low</v>
      </c>
      <c r="P25" t="str">
        <f t="shared" si="3"/>
        <v>Medium</v>
      </c>
      <c r="Q25" t="str">
        <f>VLOOKUP(D25,Sheet1!A:B,2,FALSE)</f>
        <v>North America</v>
      </c>
    </row>
    <row r="26" spans="1:17" x14ac:dyDescent="0.3">
      <c r="A26" s="3">
        <v>1025</v>
      </c>
      <c r="B26" s="3" t="s">
        <v>59</v>
      </c>
      <c r="C26" s="3" t="s">
        <v>11</v>
      </c>
      <c r="D26" s="3" t="s">
        <v>43</v>
      </c>
      <c r="E26" s="3" t="s">
        <v>19</v>
      </c>
      <c r="F26" s="3" t="s">
        <v>39</v>
      </c>
      <c r="G26" s="3">
        <v>3</v>
      </c>
      <c r="H26" s="3">
        <v>650</v>
      </c>
      <c r="I26" s="3">
        <v>5</v>
      </c>
      <c r="J26" s="3" t="s">
        <v>15</v>
      </c>
      <c r="K26" s="4" t="s">
        <v>66</v>
      </c>
      <c r="L26" s="4" t="str">
        <f t="shared" ca="1" si="4"/>
        <v>2 years 2 months 3 days</v>
      </c>
      <c r="M26">
        <f t="shared" si="0"/>
        <v>1950</v>
      </c>
      <c r="N26">
        <f t="shared" si="1"/>
        <v>1852.5000000000002</v>
      </c>
      <c r="O26" t="str">
        <f t="shared" si="2"/>
        <v>Medium</v>
      </c>
      <c r="P26" t="str">
        <f t="shared" si="3"/>
        <v>Low</v>
      </c>
      <c r="Q26" t="str">
        <f>VLOOKUP(D26,Sheet1!A:B,2,FALSE)</f>
        <v>Asia</v>
      </c>
    </row>
    <row r="27" spans="1:17" x14ac:dyDescent="0.3">
      <c r="A27" s="3">
        <v>1026</v>
      </c>
      <c r="B27" s="3" t="s">
        <v>59</v>
      </c>
      <c r="C27" s="3" t="s">
        <v>29</v>
      </c>
      <c r="D27" s="3" t="s">
        <v>48</v>
      </c>
      <c r="E27" s="3" t="s">
        <v>13</v>
      </c>
      <c r="F27" s="3" t="s">
        <v>34</v>
      </c>
      <c r="G27" s="3">
        <v>1</v>
      </c>
      <c r="H27" s="3">
        <v>1200</v>
      </c>
      <c r="I27" s="3">
        <v>2</v>
      </c>
      <c r="J27" s="3" t="s">
        <v>21</v>
      </c>
      <c r="K27" s="4" t="s">
        <v>66</v>
      </c>
      <c r="L27" s="4" t="str">
        <f t="shared" ca="1" si="4"/>
        <v>2 years 2 months 3 days</v>
      </c>
      <c r="M27">
        <f t="shared" si="0"/>
        <v>1200</v>
      </c>
      <c r="N27">
        <f t="shared" si="1"/>
        <v>1176</v>
      </c>
      <c r="O27" t="str">
        <f t="shared" si="2"/>
        <v>Low</v>
      </c>
      <c r="P27" t="str">
        <f t="shared" si="3"/>
        <v>Medium</v>
      </c>
      <c r="Q27" t="str">
        <f>VLOOKUP(D27,Sheet1!A:B,2,FALSE)</f>
        <v>Asia</v>
      </c>
    </row>
    <row r="28" spans="1:17" x14ac:dyDescent="0.3">
      <c r="A28" s="3">
        <v>1027</v>
      </c>
      <c r="B28" s="3" t="s">
        <v>60</v>
      </c>
      <c r="C28" s="3" t="s">
        <v>17</v>
      </c>
      <c r="D28" s="3" t="s">
        <v>51</v>
      </c>
      <c r="E28" s="3" t="s">
        <v>23</v>
      </c>
      <c r="F28" s="3" t="s">
        <v>24</v>
      </c>
      <c r="G28" s="3">
        <v>4</v>
      </c>
      <c r="H28" s="3">
        <v>600</v>
      </c>
      <c r="I28" s="3">
        <v>4</v>
      </c>
      <c r="J28" s="3" t="s">
        <v>15</v>
      </c>
      <c r="K28" s="4" t="s">
        <v>66</v>
      </c>
      <c r="L28" s="4" t="str">
        <f t="shared" ca="1" si="4"/>
        <v>2 years 2 months 2 days</v>
      </c>
      <c r="M28">
        <f t="shared" si="0"/>
        <v>2400</v>
      </c>
      <c r="N28">
        <f t="shared" si="1"/>
        <v>2304</v>
      </c>
      <c r="O28" t="str">
        <f t="shared" si="2"/>
        <v>Medium</v>
      </c>
      <c r="P28" t="str">
        <f t="shared" si="3"/>
        <v>Medium</v>
      </c>
      <c r="Q28" t="e">
        <f>VLOOKUP(D28,Sheet1!A:B,2,FALSE)</f>
        <v>#N/A</v>
      </c>
    </row>
    <row r="29" spans="1:17" x14ac:dyDescent="0.3">
      <c r="A29" s="3">
        <v>1028</v>
      </c>
      <c r="B29" s="3" t="s">
        <v>60</v>
      </c>
      <c r="C29" s="3" t="s">
        <v>11</v>
      </c>
      <c r="D29" s="3" t="s">
        <v>52</v>
      </c>
      <c r="E29" s="3" t="s">
        <v>13</v>
      </c>
      <c r="F29" s="3" t="s">
        <v>14</v>
      </c>
      <c r="G29" s="3">
        <v>2</v>
      </c>
      <c r="H29" s="3">
        <v>800</v>
      </c>
      <c r="I29" s="3">
        <v>5</v>
      </c>
      <c r="J29" s="3" t="s">
        <v>15</v>
      </c>
      <c r="K29" s="4" t="s">
        <v>66</v>
      </c>
      <c r="L29" s="4" t="str">
        <f t="shared" ca="1" si="4"/>
        <v>2 years 2 months 2 days</v>
      </c>
      <c r="M29">
        <f t="shared" si="0"/>
        <v>1600</v>
      </c>
      <c r="N29">
        <f t="shared" si="1"/>
        <v>1520</v>
      </c>
      <c r="O29" t="str">
        <f t="shared" si="2"/>
        <v>Medium</v>
      </c>
      <c r="P29" t="str">
        <f t="shared" si="3"/>
        <v>Low</v>
      </c>
      <c r="Q29" t="e">
        <f>VLOOKUP(D29,Sheet1!A:B,2,FALSE)</f>
        <v>#N/A</v>
      </c>
    </row>
    <row r="30" spans="1:17" x14ac:dyDescent="0.3">
      <c r="A30" s="3">
        <v>1029</v>
      </c>
      <c r="B30" s="3" t="s">
        <v>61</v>
      </c>
      <c r="C30" s="3" t="s">
        <v>26</v>
      </c>
      <c r="D30" s="3" t="s">
        <v>54</v>
      </c>
      <c r="E30" s="3" t="s">
        <v>19</v>
      </c>
      <c r="F30" s="3" t="s">
        <v>31</v>
      </c>
      <c r="G30" s="3">
        <v>3</v>
      </c>
      <c r="H30" s="3">
        <v>850</v>
      </c>
      <c r="I30" s="3">
        <v>6</v>
      </c>
      <c r="J30" s="3" t="s">
        <v>21</v>
      </c>
      <c r="K30" s="4" t="s">
        <v>66</v>
      </c>
      <c r="L30" s="4" t="str">
        <f t="shared" ca="1" si="4"/>
        <v>2 years 2 months 1 days</v>
      </c>
      <c r="M30">
        <f t="shared" si="0"/>
        <v>2550</v>
      </c>
      <c r="N30">
        <f t="shared" si="1"/>
        <v>2397</v>
      </c>
      <c r="O30" t="str">
        <f t="shared" si="2"/>
        <v>Medium</v>
      </c>
      <c r="P30" t="str">
        <f t="shared" si="3"/>
        <v>Medium</v>
      </c>
      <c r="Q30" t="e">
        <f>VLOOKUP(D30,Sheet1!A:B,2,FALSE)</f>
        <v>#N/A</v>
      </c>
    </row>
    <row r="31" spans="1:17" x14ac:dyDescent="0.3">
      <c r="A31" s="3">
        <v>1030</v>
      </c>
      <c r="B31" s="3" t="s">
        <v>61</v>
      </c>
      <c r="C31" s="3" t="s">
        <v>11</v>
      </c>
      <c r="D31" s="3" t="s">
        <v>18</v>
      </c>
      <c r="E31" s="3" t="s">
        <v>23</v>
      </c>
      <c r="F31" s="3" t="s">
        <v>36</v>
      </c>
      <c r="G31" s="3">
        <v>4</v>
      </c>
      <c r="H31" s="3">
        <v>550</v>
      </c>
      <c r="I31" s="3">
        <v>4</v>
      </c>
      <c r="J31" s="3" t="s">
        <v>15</v>
      </c>
      <c r="K31" s="4" t="s">
        <v>66</v>
      </c>
      <c r="L31" s="4" t="str">
        <f t="shared" ca="1" si="4"/>
        <v>2 years 2 months 1 days</v>
      </c>
      <c r="M31">
        <f t="shared" si="0"/>
        <v>2200</v>
      </c>
      <c r="N31">
        <f t="shared" si="1"/>
        <v>2112</v>
      </c>
      <c r="O31" t="str">
        <f t="shared" si="2"/>
        <v>Medium</v>
      </c>
      <c r="P31" t="str">
        <f t="shared" si="3"/>
        <v>Medium</v>
      </c>
      <c r="Q31" t="str">
        <f>VLOOKUP(D31,Sheet1!A:B,2,FALSE)</f>
        <v>North America</v>
      </c>
    </row>
    <row r="35" spans="10:15" x14ac:dyDescent="0.3">
      <c r="K35" s="10" t="s">
        <v>72</v>
      </c>
      <c r="O35">
        <f>SUMIFS(M:M,C:C,"India",J:J,"Online")</f>
        <v>30750</v>
      </c>
    </row>
    <row r="36" spans="10:15" x14ac:dyDescent="0.3">
      <c r="J36" s="10" t="s">
        <v>73</v>
      </c>
      <c r="O36">
        <f>COUNTIFS(C:C,"India",E:E,"Laptop")</f>
        <v>4</v>
      </c>
    </row>
    <row r="37" spans="10:15" x14ac:dyDescent="0.3">
      <c r="L37" s="10" t="s">
        <v>74</v>
      </c>
      <c r="O37">
        <f>LARGE(N2:N31,1)</f>
        <v>3995.0000000000005</v>
      </c>
    </row>
    <row r="38" spans="10:15" x14ac:dyDescent="0.3">
      <c r="O38">
        <f>LARGE(N2:N31,2)</f>
        <v>3705.0000000000005</v>
      </c>
    </row>
    <row r="39" spans="10:15" x14ac:dyDescent="0.3">
      <c r="O39">
        <f>LARGE(N2:N31,3)</f>
        <v>3196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0875-3E5B-47AB-98E1-2B20D04AC8FD}">
  <dimension ref="A1:C13"/>
  <sheetViews>
    <sheetView showGridLines="0" zoomScale="119" zoomScaleNormal="235" workbookViewId="0">
      <selection activeCell="D7" sqref="D7"/>
    </sheetView>
  </sheetViews>
  <sheetFormatPr defaultRowHeight="14.4" x14ac:dyDescent="0.3"/>
  <cols>
    <col min="1" max="1" width="15.5546875" customWidth="1"/>
    <col min="2" max="2" width="16.6640625" customWidth="1"/>
  </cols>
  <sheetData>
    <row r="1" spans="1:3" x14ac:dyDescent="0.3">
      <c r="A1" t="s">
        <v>5</v>
      </c>
      <c r="B1" s="6" t="s">
        <v>5</v>
      </c>
      <c r="C1" s="5"/>
    </row>
    <row r="3" spans="1:3" x14ac:dyDescent="0.3">
      <c r="A3" s="1" t="s">
        <v>3</v>
      </c>
      <c r="B3" s="1" t="s">
        <v>62</v>
      </c>
    </row>
    <row r="4" spans="1:3" x14ac:dyDescent="0.3">
      <c r="A4" s="2" t="s">
        <v>12</v>
      </c>
      <c r="B4" s="2" t="s">
        <v>63</v>
      </c>
    </row>
    <row r="5" spans="1:3" x14ac:dyDescent="0.3">
      <c r="A5" s="2" t="s">
        <v>18</v>
      </c>
      <c r="B5" s="2" t="s">
        <v>64</v>
      </c>
    </row>
    <row r="6" spans="1:3" x14ac:dyDescent="0.3">
      <c r="A6" s="2" t="s">
        <v>22</v>
      </c>
      <c r="B6" s="2" t="s">
        <v>63</v>
      </c>
    </row>
    <row r="7" spans="1:3" x14ac:dyDescent="0.3">
      <c r="A7" s="2" t="s">
        <v>27</v>
      </c>
      <c r="B7" s="2" t="s">
        <v>65</v>
      </c>
    </row>
    <row r="8" spans="1:3" x14ac:dyDescent="0.3">
      <c r="A8" s="2" t="s">
        <v>30</v>
      </c>
      <c r="B8" s="2" t="s">
        <v>65</v>
      </c>
    </row>
    <row r="9" spans="1:3" x14ac:dyDescent="0.3">
      <c r="A9" s="2" t="s">
        <v>33</v>
      </c>
      <c r="B9" s="2" t="s">
        <v>63</v>
      </c>
    </row>
    <row r="10" spans="1:3" x14ac:dyDescent="0.3">
      <c r="A10" s="2" t="s">
        <v>35</v>
      </c>
      <c r="B10" s="2" t="s">
        <v>64</v>
      </c>
    </row>
    <row r="11" spans="1:3" x14ac:dyDescent="0.3">
      <c r="A11" s="2" t="s">
        <v>38</v>
      </c>
      <c r="B11" s="2" t="s">
        <v>63</v>
      </c>
    </row>
    <row r="12" spans="1:3" x14ac:dyDescent="0.3">
      <c r="A12" s="2" t="s">
        <v>43</v>
      </c>
      <c r="B12" s="2" t="s">
        <v>63</v>
      </c>
    </row>
    <row r="13" spans="1:3" x14ac:dyDescent="0.3">
      <c r="A13" s="2" t="s">
        <v>48</v>
      </c>
      <c r="B13" s="2" t="s">
        <v>63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895680F-C88B-4600-8E6E-FD2296A43735}">
          <x14:formula1>
            <xm:f>Sales_Data!F:F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5AD8-EBCC-412F-8D08-9B6FEE7837DD}">
  <dimension ref="A3:B27"/>
  <sheetViews>
    <sheetView workbookViewId="0">
      <selection activeCell="R12" sqref="R12"/>
    </sheetView>
  </sheetViews>
  <sheetFormatPr defaultRowHeight="14.4" x14ac:dyDescent="0.3"/>
  <cols>
    <col min="1" max="1" width="12.5546875" bestFit="1" customWidth="1"/>
    <col min="2" max="2" width="20" bestFit="1" customWidth="1"/>
    <col min="3" max="4" width="5" bestFit="1" customWidth="1"/>
    <col min="5" max="5" width="12.5546875" bestFit="1" customWidth="1"/>
    <col min="6" max="6" width="20" bestFit="1" customWidth="1"/>
    <col min="7" max="18" width="5" bestFit="1" customWidth="1"/>
    <col min="19" max="19" width="10.77734375" bestFit="1" customWidth="1"/>
  </cols>
  <sheetData>
    <row r="3" spans="1:2" x14ac:dyDescent="0.3">
      <c r="A3" s="11" t="s">
        <v>75</v>
      </c>
      <c r="B3" t="s">
        <v>77</v>
      </c>
    </row>
    <row r="4" spans="1:2" x14ac:dyDescent="0.3">
      <c r="A4" s="12" t="s">
        <v>26</v>
      </c>
      <c r="B4" s="13">
        <v>10000</v>
      </c>
    </row>
    <row r="5" spans="1:2" x14ac:dyDescent="0.3">
      <c r="A5" s="12" t="s">
        <v>11</v>
      </c>
      <c r="B5" s="13">
        <v>30750</v>
      </c>
    </row>
    <row r="6" spans="1:2" x14ac:dyDescent="0.3">
      <c r="A6" s="12" t="s">
        <v>29</v>
      </c>
      <c r="B6" s="13">
        <v>11750</v>
      </c>
    </row>
    <row r="7" spans="1:2" x14ac:dyDescent="0.3">
      <c r="A7" s="12" t="s">
        <v>17</v>
      </c>
      <c r="B7" s="13">
        <v>10750</v>
      </c>
    </row>
    <row r="8" spans="1:2" x14ac:dyDescent="0.3">
      <c r="A8" s="12" t="s">
        <v>76</v>
      </c>
      <c r="B8" s="13">
        <v>63250</v>
      </c>
    </row>
    <row r="11" spans="1:2" x14ac:dyDescent="0.3">
      <c r="A11" s="11" t="s">
        <v>75</v>
      </c>
      <c r="B11" t="s">
        <v>78</v>
      </c>
    </row>
    <row r="12" spans="1:2" x14ac:dyDescent="0.3">
      <c r="A12" s="12" t="s">
        <v>13</v>
      </c>
      <c r="B12" s="13">
        <v>24</v>
      </c>
    </row>
    <row r="13" spans="1:2" x14ac:dyDescent="0.3">
      <c r="A13" s="12" t="s">
        <v>19</v>
      </c>
      <c r="B13" s="13">
        <v>32</v>
      </c>
    </row>
    <row r="14" spans="1:2" x14ac:dyDescent="0.3">
      <c r="A14" s="12" t="s">
        <v>23</v>
      </c>
      <c r="B14" s="13">
        <v>30</v>
      </c>
    </row>
    <row r="15" spans="1:2" x14ac:dyDescent="0.3">
      <c r="A15" s="12" t="s">
        <v>76</v>
      </c>
      <c r="B15" s="13">
        <v>86</v>
      </c>
    </row>
    <row r="18" spans="1:2" x14ac:dyDescent="0.3">
      <c r="A18" s="11" t="s">
        <v>75</v>
      </c>
      <c r="B18" t="s">
        <v>77</v>
      </c>
    </row>
    <row r="19" spans="1:2" x14ac:dyDescent="0.3">
      <c r="A19" s="12" t="s">
        <v>15</v>
      </c>
      <c r="B19" s="13">
        <v>42200</v>
      </c>
    </row>
    <row r="20" spans="1:2" x14ac:dyDescent="0.3">
      <c r="A20" s="14" t="s">
        <v>11</v>
      </c>
      <c r="B20" s="13">
        <v>30750</v>
      </c>
    </row>
    <row r="21" spans="1:2" x14ac:dyDescent="0.3">
      <c r="A21" s="14" t="s">
        <v>29</v>
      </c>
      <c r="B21" s="13">
        <v>6050</v>
      </c>
    </row>
    <row r="22" spans="1:2" x14ac:dyDescent="0.3">
      <c r="A22" s="14" t="s">
        <v>17</v>
      </c>
      <c r="B22" s="13">
        <v>5400</v>
      </c>
    </row>
    <row r="23" spans="1:2" x14ac:dyDescent="0.3">
      <c r="A23" s="12" t="s">
        <v>21</v>
      </c>
      <c r="B23" s="13">
        <v>21050</v>
      </c>
    </row>
    <row r="24" spans="1:2" x14ac:dyDescent="0.3">
      <c r="A24" s="14" t="s">
        <v>26</v>
      </c>
      <c r="B24" s="13">
        <v>10000</v>
      </c>
    </row>
    <row r="25" spans="1:2" x14ac:dyDescent="0.3">
      <c r="A25" s="14" t="s">
        <v>29</v>
      </c>
      <c r="B25" s="13">
        <v>5700</v>
      </c>
    </row>
    <row r="26" spans="1:2" x14ac:dyDescent="0.3">
      <c r="A26" s="14" t="s">
        <v>17</v>
      </c>
      <c r="B26" s="13">
        <v>5350</v>
      </c>
    </row>
    <row r="27" spans="1:2" x14ac:dyDescent="0.3">
      <c r="A27" s="12" t="s">
        <v>76</v>
      </c>
      <c r="B27" s="13">
        <v>63250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Sheet1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Likhith B A</cp:lastModifiedBy>
  <dcterms:created xsi:type="dcterms:W3CDTF">2026-03-16T17:01:02Z</dcterms:created>
  <dcterms:modified xsi:type="dcterms:W3CDTF">2026-03-17T13:01:44Z</dcterms:modified>
</cp:coreProperties>
</file>